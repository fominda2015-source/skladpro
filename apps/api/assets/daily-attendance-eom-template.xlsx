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imam\OneDrive\Desktop\Работа\Речников\Табеля\5 Общий Ежедневный\"/>
    </mc:Choice>
  </mc:AlternateContent>
  <xr:revisionPtr revIDLastSave="0" documentId="8_{2F280E0B-A6CE-4CA7-B4E2-576743ECA4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E18" i="1"/>
  <c r="F6" i="1"/>
  <c r="E6" i="1"/>
  <c r="E21" i="1" l="1"/>
  <c r="E20" i="1"/>
  <c r="E19" i="1"/>
  <c r="E7" i="1"/>
  <c r="E22" i="1" l="1"/>
</calcChain>
</file>

<file path=xl/sharedStrings.xml><?xml version="1.0" encoding="utf-8"?>
<sst xmlns="http://schemas.openxmlformats.org/spreadsheetml/2006/main" count="49" uniqueCount="32">
  <si>
    <t>ИТР</t>
  </si>
  <si>
    <t xml:space="preserve">Организация </t>
  </si>
  <si>
    <t>№
п/п</t>
  </si>
  <si>
    <t xml:space="preserve">Наименование должности </t>
  </si>
  <si>
    <t>Норма 
кол-во</t>
  </si>
  <si>
    <t>Присутствие
кол-во</t>
  </si>
  <si>
    <t>ФИО/Причины/Меры</t>
  </si>
  <si>
    <t>ООО "ПСК Магистраль 
Констракшн"</t>
  </si>
  <si>
    <t xml:space="preserve">Производитель работ </t>
  </si>
  <si>
    <t>Кладовщик</t>
  </si>
  <si>
    <t>ИТОГО:</t>
  </si>
  <si>
    <t xml:space="preserve">ПНР </t>
  </si>
  <si>
    <t>ВСЕГО Норма на объекте:</t>
  </si>
  <si>
    <t>Фактически рабочих:</t>
  </si>
  <si>
    <t>Всего % присутствия:</t>
  </si>
  <si>
    <t xml:space="preserve">% присутствия: </t>
  </si>
  <si>
    <t>Георгий Георгиевич Красовский</t>
  </si>
  <si>
    <t>Мельяченков Дмитрий Алексеевич</t>
  </si>
  <si>
    <t>Базылев Андрейн Николаевич</t>
  </si>
  <si>
    <t>Руководитель проекта ЭОМ</t>
  </si>
  <si>
    <t>Электромонтажник</t>
  </si>
  <si>
    <t>Плотников Александр Витальевич</t>
  </si>
  <si>
    <t>ЭОМ Расстановка по объекту: ФР Нагатинский. Жилой дом. Зона 13.1</t>
  </si>
  <si>
    <t>Афанасьев Александр Алексеевич</t>
  </si>
  <si>
    <t>Садиев Хусниддин</t>
  </si>
  <si>
    <t>Абдурахмонов Санжар</t>
  </si>
  <si>
    <t>Кахоров Фарход</t>
  </si>
  <si>
    <t>Омурзаков Данияр</t>
  </si>
  <si>
    <t>Кекечов Илимбек</t>
  </si>
  <si>
    <t xml:space="preserve">Кахоров Шерзод </t>
  </si>
  <si>
    <t>Франгу Дмитрий</t>
  </si>
  <si>
    <t>Дата: 24.06.2026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</si>
</sst>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₽&quot;_-;\-* #,##0.00\ &quot;₽&quot;_-;_-* &quot;-&quot;??\ &quot;₽&quot;_-;_-@_-"/>
  </numFmts>
  <fonts count="6">
    <font>
      <sz val="11"/>
      <color theme="1"/>
      <name val="Calibri"/>
      <charset val="134"/>
      <scheme val="minor"/>
    </font>
    <font>
      <b/>
      <sz val="14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 applyBorder="0"/>
    <xf numFmtId="44" fontId="4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5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indent="5"/>
    </xf>
    <xf numFmtId="0" fontId="0" fillId="0" borderId="2" xfId="0" applyBorder="1" applyAlignment="1">
      <alignment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2" xfId="0" applyBorder="1"/>
    <xf numFmtId="0" fontId="5" fillId="0" borderId="8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7" xfId="0" applyBorder="1"/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wrapText="1"/>
    </xf>
    <xf numFmtId="10" fontId="2" fillId="0" borderId="10" xfId="0" applyNumberFormat="1" applyFont="1" applyBorder="1" applyAlignment="1">
      <alignment horizontal="center" wrapText="1"/>
    </xf>
    <xf numFmtId="10" fontId="2" fillId="0" borderId="23" xfId="0" applyNumberFormat="1" applyFont="1" applyBorder="1" applyAlignment="1">
      <alignment horizont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0" fontId="2" fillId="0" borderId="23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</cellXfs>
  <cellStyles count="2">
    <cellStyle name="Денежный 2" xfId="1" xr:uid="{00000000-0005-0000-0000-000001000000}"/>
    <cellStyle name="Обычный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topLeftCell="D1" zoomScale="91" zoomScaleNormal="91" workbookViewId="0">
      <selection activeCell="K21" sqref="K21"/>
    </sheetView>
  </sheetViews>
  <sheetFormatPr defaultColWidth="8.6640625" defaultRowHeight="14.4"/>
  <cols>
    <col min="1" max="1" width="6" customWidth="1"/>
    <col min="2" max="2" width="21.6640625" customWidth="1"/>
    <col min="3" max="3" width="14.21875" style="1" customWidth="1"/>
    <col min="4" max="4" width="36.88671875" customWidth="1"/>
    <col min="5" max="6" width="12.33203125" style="1" customWidth="1"/>
    <col min="7" max="7" width="36.109375" bestFit="1" customWidth="1"/>
    <col min="8" max="8" width="26.44140625" customWidth="1"/>
    <col min="11" max="11" width="43.6640625" customWidth="1"/>
    <col min="12" max="12" width="29.33203125" customWidth="1"/>
  </cols>
  <sheetData>
    <row r="1" spans="1:12" ht="18.600000000000001" thickBot="1">
      <c r="A1" s="47" t="s">
        <v>22</v>
      </c>
      <c r="B1" s="48"/>
      <c r="C1" s="48"/>
      <c r="D1" s="48"/>
      <c r="E1" s="48"/>
      <c r="F1" s="48"/>
      <c r="G1" s="18" t="s">
        <v>31</v>
      </c>
    </row>
    <row r="2" spans="1:12" ht="29.4" thickBot="1">
      <c r="A2" s="61" t="s">
        <v>0</v>
      </c>
      <c r="B2" s="17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20" t="s">
        <v>6</v>
      </c>
    </row>
    <row r="3" spans="1:12" ht="28.8" customHeight="1">
      <c r="A3" s="62"/>
      <c r="B3" s="58" t="s">
        <v>7</v>
      </c>
      <c r="C3" s="30">
        <v>1</v>
      </c>
      <c r="D3" s="22" t="s">
        <v>19</v>
      </c>
      <c r="E3" s="11">
        <v>1</v>
      </c>
      <c r="F3" s="23">
        <v>0</v>
      </c>
      <c r="G3" s="27" t="s">
        <v>18</v>
      </c>
    </row>
    <row r="4" spans="1:12">
      <c r="A4" s="62"/>
      <c r="B4" s="59"/>
      <c r="C4" s="31">
        <v>2</v>
      </c>
      <c r="D4" s="2" t="s">
        <v>8</v>
      </c>
      <c r="E4" s="12">
        <v>1</v>
      </c>
      <c r="F4" s="32">
        <v>1</v>
      </c>
      <c r="G4" s="28" t="s">
        <v>17</v>
      </c>
    </row>
    <row r="5" spans="1:12" ht="15" thickBot="1">
      <c r="A5" s="62"/>
      <c r="B5" s="59"/>
      <c r="C5" s="33">
        <v>3</v>
      </c>
      <c r="D5" s="8" t="s">
        <v>9</v>
      </c>
      <c r="E5" s="13">
        <v>1</v>
      </c>
      <c r="F5" s="34">
        <v>1</v>
      </c>
      <c r="G5" s="29" t="s">
        <v>16</v>
      </c>
    </row>
    <row r="6" spans="1:12">
      <c r="A6" s="62"/>
      <c r="B6" s="59"/>
      <c r="C6" s="56" t="s">
        <v>10</v>
      </c>
      <c r="D6" s="57"/>
      <c r="E6" s="11">
        <f>SUM(E3:E5)</f>
        <v>3</v>
      </c>
      <c r="F6" s="23">
        <f>SUM(F3:F5)</f>
        <v>2</v>
      </c>
      <c r="G6" s="43"/>
    </row>
    <row r="7" spans="1:12" ht="15" thickBot="1">
      <c r="A7" s="63"/>
      <c r="B7" s="60"/>
      <c r="C7" s="54" t="s">
        <v>15</v>
      </c>
      <c r="D7" s="55"/>
      <c r="E7" s="49">
        <f>F6/E6</f>
        <v>0.66666666666666663</v>
      </c>
      <c r="F7" s="50"/>
      <c r="G7" s="44"/>
    </row>
    <row r="8" spans="1:12" ht="29.4" thickBot="1">
      <c r="A8" s="61" t="s">
        <v>11</v>
      </c>
      <c r="B8" s="21" t="s">
        <v>1</v>
      </c>
      <c r="C8" s="24" t="s">
        <v>2</v>
      </c>
      <c r="D8" s="19" t="s">
        <v>3</v>
      </c>
      <c r="E8" s="19" t="s">
        <v>4</v>
      </c>
      <c r="F8" s="19" t="s">
        <v>5</v>
      </c>
      <c r="G8" s="20" t="s">
        <v>6</v>
      </c>
      <c r="K8" s="4"/>
      <c r="L8" s="5"/>
    </row>
    <row r="9" spans="1:12" ht="14.4" customHeight="1">
      <c r="A9" s="62"/>
      <c r="B9" s="64" t="s">
        <v>7</v>
      </c>
      <c r="C9" s="25">
        <v>1</v>
      </c>
      <c r="D9" s="7" t="s">
        <v>20</v>
      </c>
      <c r="E9" s="9">
        <v>1</v>
      </c>
      <c r="F9" s="37">
        <v>1</v>
      </c>
      <c r="G9" s="35" t="s">
        <v>21</v>
      </c>
      <c r="K9" s="6"/>
    </row>
    <row r="10" spans="1:12">
      <c r="A10" s="62"/>
      <c r="B10" s="65"/>
      <c r="C10" s="26">
        <v>2</v>
      </c>
      <c r="D10" s="2" t="s">
        <v>20</v>
      </c>
      <c r="E10" s="15">
        <v>1</v>
      </c>
      <c r="F10" s="38">
        <v>1</v>
      </c>
      <c r="G10" s="36" t="s">
        <v>23</v>
      </c>
      <c r="K10" s="6"/>
    </row>
    <row r="11" spans="1:12">
      <c r="A11" s="62"/>
      <c r="B11" s="65"/>
      <c r="C11" s="26">
        <v>3</v>
      </c>
      <c r="D11" s="2" t="s">
        <v>20</v>
      </c>
      <c r="E11" s="15">
        <v>1</v>
      </c>
      <c r="F11" s="38">
        <v>1</v>
      </c>
      <c r="G11" s="36" t="s">
        <v>29</v>
      </c>
      <c r="K11" s="6"/>
    </row>
    <row r="12" spans="1:12">
      <c r="A12" s="62"/>
      <c r="B12" s="65"/>
      <c r="C12" s="26">
        <v>4</v>
      </c>
      <c r="D12" s="2" t="s">
        <v>20</v>
      </c>
      <c r="E12" s="15">
        <v>1</v>
      </c>
      <c r="F12" s="38">
        <v>1</v>
      </c>
      <c r="G12" s="36" t="s">
        <v>24</v>
      </c>
      <c r="K12" s="6"/>
    </row>
    <row r="13" spans="1:12">
      <c r="A13" s="62"/>
      <c r="B13" s="65"/>
      <c r="C13" s="26">
        <v>5</v>
      </c>
      <c r="D13" s="2" t="s">
        <v>20</v>
      </c>
      <c r="E13" s="15">
        <v>1</v>
      </c>
      <c r="F13" s="38">
        <v>1</v>
      </c>
      <c r="G13" s="36" t="s">
        <v>28</v>
      </c>
      <c r="K13" s="6"/>
    </row>
    <row r="14" spans="1:12">
      <c r="A14" s="62"/>
      <c r="B14" s="65"/>
      <c r="C14" s="26">
        <v>6</v>
      </c>
      <c r="D14" s="2" t="s">
        <v>20</v>
      </c>
      <c r="E14" s="15">
        <v>1</v>
      </c>
      <c r="F14" s="38">
        <v>0</v>
      </c>
      <c r="G14" s="36" t="s">
        <v>25</v>
      </c>
      <c r="K14" s="6"/>
    </row>
    <row r="15" spans="1:12">
      <c r="A15" s="62"/>
      <c r="B15" s="65"/>
      <c r="C15" s="26">
        <v>7</v>
      </c>
      <c r="D15" s="2" t="s">
        <v>20</v>
      </c>
      <c r="E15" s="15">
        <v>1</v>
      </c>
      <c r="F15" s="38">
        <v>1</v>
      </c>
      <c r="G15" s="36" t="s">
        <v>26</v>
      </c>
      <c r="K15" s="6"/>
    </row>
    <row r="16" spans="1:12">
      <c r="A16" s="62"/>
      <c r="B16" s="65"/>
      <c r="C16" s="41"/>
      <c r="D16" s="2" t="s">
        <v>20</v>
      </c>
      <c r="E16" s="15">
        <v>1</v>
      </c>
      <c r="F16" s="42">
        <v>1</v>
      </c>
      <c r="G16" s="36" t="s">
        <v>30</v>
      </c>
      <c r="K16" s="6"/>
    </row>
    <row r="17" spans="1:11" ht="15" thickBot="1">
      <c r="A17" s="62"/>
      <c r="B17" s="65"/>
      <c r="C17" s="39">
        <v>8</v>
      </c>
      <c r="D17" s="8" t="s">
        <v>20</v>
      </c>
      <c r="E17" s="10">
        <v>1</v>
      </c>
      <c r="F17" s="40">
        <v>1</v>
      </c>
      <c r="G17" s="36" t="s">
        <v>27</v>
      </c>
      <c r="H17" s="3"/>
      <c r="K17" s="6"/>
    </row>
    <row r="18" spans="1:11">
      <c r="A18" s="62"/>
      <c r="B18" s="65"/>
      <c r="C18" s="52" t="s">
        <v>10</v>
      </c>
      <c r="D18" s="53"/>
      <c r="E18" s="14">
        <f>SUM(E9:E17)</f>
        <v>9</v>
      </c>
      <c r="F18" s="16">
        <f>SUM(F9:F17)</f>
        <v>8</v>
      </c>
      <c r="G18" s="45"/>
      <c r="K18" s="6"/>
    </row>
    <row r="19" spans="1:11" ht="15" thickBot="1">
      <c r="A19" s="63"/>
      <c r="B19" s="66"/>
      <c r="C19" s="54" t="s">
        <v>15</v>
      </c>
      <c r="D19" s="55"/>
      <c r="E19" s="49">
        <f>F18/E18</f>
        <v>0.88888888888888884</v>
      </c>
      <c r="F19" s="51"/>
      <c r="G19" s="46"/>
      <c r="K19" s="6"/>
    </row>
    <row r="20" spans="1:11">
      <c r="A20" s="79" t="s">
        <v>12</v>
      </c>
      <c r="B20" s="80"/>
      <c r="C20" s="80"/>
      <c r="D20" s="80"/>
      <c r="E20" s="77">
        <f>E6+E18</f>
        <v>12</v>
      </c>
      <c r="F20" s="78"/>
      <c r="G20" s="75"/>
    </row>
    <row r="21" spans="1:11">
      <c r="A21" s="67" t="s">
        <v>13</v>
      </c>
      <c r="B21" s="68"/>
      <c r="C21" s="68"/>
      <c r="D21" s="68"/>
      <c r="E21" s="71">
        <f>F6+F18</f>
        <v>10</v>
      </c>
      <c r="F21" s="72"/>
      <c r="G21" s="75"/>
    </row>
    <row r="22" spans="1:11" ht="15" thickBot="1">
      <c r="A22" s="69" t="s">
        <v>14</v>
      </c>
      <c r="B22" s="70"/>
      <c r="C22" s="70"/>
      <c r="D22" s="70"/>
      <c r="E22" s="73">
        <f>E21/E20</f>
        <v>0.83333333333333337</v>
      </c>
      <c r="F22" s="74"/>
      <c r="G22" s="76"/>
    </row>
  </sheetData>
  <mergeCells count="20">
    <mergeCell ref="A21:D21"/>
    <mergeCell ref="A22:D22"/>
    <mergeCell ref="E21:F21"/>
    <mergeCell ref="E22:F22"/>
    <mergeCell ref="G20:G22"/>
    <mergeCell ref="E20:F20"/>
    <mergeCell ref="A20:D20"/>
    <mergeCell ref="G6:G7"/>
    <mergeCell ref="G18:G19"/>
    <mergeCell ref="A1:F1"/>
    <mergeCell ref="E7:F7"/>
    <mergeCell ref="E19:F19"/>
    <mergeCell ref="C18:D18"/>
    <mergeCell ref="C19:D19"/>
    <mergeCell ref="C6:D6"/>
    <mergeCell ref="C7:D7"/>
    <mergeCell ref="B3:B7"/>
    <mergeCell ref="A2:A7"/>
    <mergeCell ref="B9:B19"/>
    <mergeCell ref="A8:A19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Петуров Иван Александрович</dc:creator>
  <cp:lastModifiedBy>Диман Диман</cp:lastModifiedBy>
  <cp:lastPrinted>2026-06-16T06:21:37Z</cp:lastPrinted>
  <dcterms:created xsi:type="dcterms:W3CDTF">2015-06-05T18:19:34Z</dcterms:created>
  <dcterms:modified xsi:type="dcterms:W3CDTF">2026-06-24T06:25:57Z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ED8389E64366A9EAC42C0F6AA59A8DED_33</vt:lpwstr>
  </property>
  <property fmtid="{D5CDD505-2E9C-101B-9397-08002B2CF9AE}" pid="3" name="KSOProductBuildVer">
    <vt:lpwstr>2052-26.4.0</vt:lpwstr>
  </property>
</Properties>
</file>