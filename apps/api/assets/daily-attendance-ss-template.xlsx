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PSK_N_030\Desktop\РАБОТА МАГИСТРАЛЬ\00 Табеля\Речников\2 Общий Ежедневный\"/>
    </mc:Choice>
  </mc:AlternateContent>
  <xr:revisionPtr revIDLastSave="0" documentId="13_ncr:1_{70312E4A-8AC5-4BB1-97D2-C9B6F0E331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1" l="1"/>
  <c r="F13" i="1"/>
  <c r="F6" i="1"/>
  <c r="E6" i="1"/>
  <c r="E15" i="1" s="1"/>
  <c r="E16" i="1" l="1"/>
  <c r="E14" i="1"/>
  <c r="E7" i="1"/>
  <c r="E17" i="1" l="1"/>
</calcChain>
</file>

<file path=xl/sharedStrings.xml><?xml version="1.0" encoding="utf-8"?>
<sst xmlns="http://schemas.openxmlformats.org/spreadsheetml/2006/main" count="39" uniqueCount="27">
  <si>
    <t>ИТР</t>
  </si>
  <si>
    <t xml:space="preserve">Организация </t>
  </si>
  <si>
    <t>№
п/п</t>
  </si>
  <si>
    <t xml:space="preserve">Наименование должности </t>
  </si>
  <si>
    <t>Норма 
кол-во</t>
  </si>
  <si>
    <t>Присутствие
кол-во</t>
  </si>
  <si>
    <t>ФИО/Причины/Меры</t>
  </si>
  <si>
    <t>ООО "ПСК Магистраль 
Констракшн"</t>
  </si>
  <si>
    <t xml:space="preserve">Производитель работ </t>
  </si>
  <si>
    <t>Белоусов Дмитрий Андреевич</t>
  </si>
  <si>
    <t>Кладовщик</t>
  </si>
  <si>
    <t>ИТОГО:</t>
  </si>
  <si>
    <t>Монтажник</t>
  </si>
  <si>
    <t xml:space="preserve">Почасовая оплата </t>
  </si>
  <si>
    <t>ВСЕГО Норма на объекте:</t>
  </si>
  <si>
    <t>Всего % присутствия:</t>
  </si>
  <si>
    <t xml:space="preserve">% присутствия: </t>
  </si>
  <si>
    <t>Игорь Владимирович Дюро</t>
  </si>
  <si>
    <t>Георгий Георгиевич Красовский</t>
  </si>
  <si>
    <t>Руководитель проекта СС</t>
  </si>
  <si>
    <t>СС Расстановка по объекту: ФР Нагатинский. Жилой дом. Зона 13.1</t>
  </si>
  <si>
    <t>Аноятшоев Алиджон Алиддинович</t>
  </si>
  <si>
    <t>Курбонджонов Муяссар Содикджонович</t>
  </si>
  <si>
    <t>Фактически итр и рабочих:</t>
  </si>
  <si>
    <t>Дата: 24.06.2026</t>
  </si>
  <si>
    <t>Давронбеков Зевар Хотамбекович</t>
  </si>
  <si>
    <t>Куватбеков Куватбек Шакарбекович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</si>
</sst>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* #,##0.00\ &quot;₽&quot;_-;\-* #,##0.00\ &quot;₽&quot;_-;_-* &quot;-&quot;??\ &quot;₽&quot;_-;_-@_-"/>
  </numFmts>
  <fonts count="6">
    <font>
      <sz val="11"/>
      <color theme="1"/>
      <name val="Calibri"/>
      <charset val="134"/>
      <scheme val="minor"/>
    </font>
    <font>
      <b/>
      <sz val="14"/>
      <color theme="1"/>
      <name val="Calibri"/>
      <charset val="204"/>
      <scheme val="minor"/>
    </font>
    <font>
      <b/>
      <sz val="11"/>
      <color theme="1"/>
      <name val="Calibri"/>
      <charset val="204"/>
      <scheme val="minor"/>
    </font>
    <font>
      <sz val="11"/>
      <color theme="1"/>
      <name val="Calibri"/>
      <charset val="20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</borders>
  <cellStyleXfs count="2">
    <xf numFmtId="0" fontId="0" fillId="0" borderId="0" applyBorder="0"/>
    <xf numFmtId="44" fontId="4" fillId="0" borderId="0" applyFont="0" applyFill="0" applyBorder="0" applyAlignment="0" applyProtection="0"/>
  </cellStyleXfs>
  <cellXfs count="67">
    <xf numFmtId="0" fontId="0" fillId="0" borderId="0" xfId="0"/>
    <xf numFmtId="0" fontId="0" fillId="0" borderId="4" xfId="0" applyBorder="1" applyAlignment="1">
      <alignment wrapText="1"/>
    </xf>
    <xf numFmtId="0" fontId="0" fillId="0" borderId="0" xfId="0" applyAlignment="1">
      <alignment wrapText="1"/>
    </xf>
    <xf numFmtId="0" fontId="0" fillId="0" borderId="2" xfId="0" applyBorder="1" applyAlignment="1">
      <alignment wrapText="1"/>
    </xf>
    <xf numFmtId="0" fontId="2" fillId="0" borderId="8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0" fillId="0" borderId="7" xfId="0" applyBorder="1" applyAlignment="1">
      <alignment wrapText="1"/>
    </xf>
    <xf numFmtId="0" fontId="2" fillId="0" borderId="2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5" fillId="0" borderId="27" xfId="0" applyFont="1" applyBorder="1" applyAlignment="1">
      <alignment horizontal="center" wrapText="1"/>
    </xf>
    <xf numFmtId="0" fontId="3" fillId="0" borderId="31" xfId="0" applyFont="1" applyBorder="1" applyAlignment="1">
      <alignment horizontal="left" vertical="center" wrapText="1"/>
    </xf>
    <xf numFmtId="0" fontId="0" fillId="0" borderId="1" xfId="0" applyBorder="1" applyAlignment="1">
      <alignment horizontal="center" wrapText="1"/>
    </xf>
    <xf numFmtId="0" fontId="5" fillId="0" borderId="9" xfId="0" applyFont="1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1" fillId="0" borderId="19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5" fillId="0" borderId="30" xfId="0" applyFont="1" applyBorder="1" applyAlignment="1">
      <alignment horizontal="center" wrapText="1"/>
    </xf>
    <xf numFmtId="0" fontId="0" fillId="0" borderId="22" xfId="0" applyBorder="1" applyAlignment="1">
      <alignment horizontal="left" vertical="center" wrapText="1"/>
    </xf>
    <xf numFmtId="0" fontId="0" fillId="0" borderId="32" xfId="0" applyBorder="1" applyAlignment="1">
      <alignment horizontal="left" vertical="center" wrapText="1"/>
    </xf>
    <xf numFmtId="0" fontId="0" fillId="0" borderId="33" xfId="0" applyBorder="1" applyAlignment="1">
      <alignment horizontal="center" wrapText="1"/>
    </xf>
    <xf numFmtId="0" fontId="5" fillId="0" borderId="34" xfId="0" applyFont="1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5" fillId="0" borderId="35" xfId="0" applyFont="1" applyBorder="1" applyAlignment="1">
      <alignment horizontal="center" wrapText="1"/>
    </xf>
    <xf numFmtId="0" fontId="0" fillId="0" borderId="10" xfId="0" applyBorder="1" applyAlignment="1">
      <alignment wrapText="1"/>
    </xf>
    <xf numFmtId="0" fontId="0" fillId="0" borderId="5" xfId="0" applyBorder="1" applyAlignment="1">
      <alignment horizontal="center" wrapText="1"/>
    </xf>
    <xf numFmtId="0" fontId="0" fillId="0" borderId="11" xfId="0" applyBorder="1" applyAlignment="1">
      <alignment wrapText="1"/>
    </xf>
    <xf numFmtId="0" fontId="0" fillId="0" borderId="36" xfId="0" applyBorder="1" applyAlignment="1">
      <alignment wrapText="1"/>
    </xf>
    <xf numFmtId="0" fontId="5" fillId="0" borderId="37" xfId="0" applyFont="1" applyBorder="1" applyAlignment="1">
      <alignment horizontal="center" wrapText="1"/>
    </xf>
    <xf numFmtId="0" fontId="5" fillId="0" borderId="36" xfId="0" applyFont="1" applyBorder="1" applyAlignment="1">
      <alignment horizontal="center" wrapText="1"/>
    </xf>
    <xf numFmtId="0" fontId="3" fillId="0" borderId="38" xfId="0" applyFont="1" applyBorder="1" applyAlignment="1">
      <alignment horizontal="left" vertical="center" wrapText="1"/>
    </xf>
    <xf numFmtId="0" fontId="2" fillId="0" borderId="39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0" fillId="0" borderId="40" xfId="0" applyBorder="1" applyAlignment="1">
      <alignment horizontal="left" vertical="center" wrapText="1"/>
    </xf>
    <xf numFmtId="0" fontId="0" fillId="0" borderId="25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0" fontId="2" fillId="0" borderId="16" xfId="0" applyFont="1" applyBorder="1" applyAlignment="1">
      <alignment horizontal="center" wrapText="1"/>
    </xf>
    <xf numFmtId="0" fontId="2" fillId="0" borderId="29" xfId="0" applyFont="1" applyBorder="1" applyAlignment="1">
      <alignment horizontal="center" wrapText="1"/>
    </xf>
    <xf numFmtId="0" fontId="2" fillId="0" borderId="15" xfId="0" applyFont="1" applyBorder="1" applyAlignment="1">
      <alignment horizontal="right" vertical="center" wrapText="1"/>
    </xf>
    <xf numFmtId="0" fontId="2" fillId="0" borderId="16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right" vertical="center" wrapText="1"/>
    </xf>
    <xf numFmtId="0" fontId="2" fillId="0" borderId="4" xfId="0" applyFont="1" applyBorder="1" applyAlignment="1">
      <alignment horizontal="right" vertical="center" wrapText="1"/>
    </xf>
    <xf numFmtId="0" fontId="2" fillId="0" borderId="5" xfId="0" applyFont="1" applyBorder="1" applyAlignment="1">
      <alignment horizontal="right" vertical="center" wrapText="1"/>
    </xf>
    <xf numFmtId="0" fontId="2" fillId="0" borderId="6" xfId="0" applyFont="1" applyBorder="1" applyAlignment="1">
      <alignment horizontal="right" vertical="center" wrapText="1"/>
    </xf>
    <xf numFmtId="0" fontId="2" fillId="0" borderId="4" xfId="0" applyFont="1" applyBorder="1" applyAlignment="1">
      <alignment horizontal="center" wrapText="1"/>
    </xf>
    <xf numFmtId="0" fontId="2" fillId="0" borderId="30" xfId="0" applyFont="1" applyBorder="1" applyAlignment="1">
      <alignment horizontal="center" wrapText="1"/>
    </xf>
    <xf numFmtId="10" fontId="2" fillId="0" borderId="6" xfId="0" applyNumberFormat="1" applyFont="1" applyBorder="1" applyAlignment="1">
      <alignment horizontal="center" wrapText="1"/>
    </xf>
    <xf numFmtId="10" fontId="2" fillId="0" borderId="28" xfId="0" applyNumberFormat="1" applyFont="1" applyBorder="1" applyAlignment="1">
      <alignment horizontal="center" wrapText="1"/>
    </xf>
    <xf numFmtId="0" fontId="0" fillId="0" borderId="20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textRotation="90" wrapText="1"/>
    </xf>
    <xf numFmtId="0" fontId="2" fillId="0" borderId="20" xfId="0" applyFont="1" applyBorder="1" applyAlignment="1">
      <alignment horizontal="center" vertical="center" textRotation="90" wrapText="1"/>
    </xf>
    <xf numFmtId="0" fontId="2" fillId="0" borderId="21" xfId="0" applyFont="1" applyBorder="1" applyAlignment="1">
      <alignment horizontal="center" vertical="center" textRotation="90" wrapText="1"/>
    </xf>
    <xf numFmtId="0" fontId="0" fillId="0" borderId="23" xfId="0" applyBorder="1" applyAlignment="1">
      <alignment horizont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10" fontId="2" fillId="0" borderId="11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right" wrapText="1"/>
    </xf>
    <xf numFmtId="0" fontId="2" fillId="0" borderId="2" xfId="0" applyFont="1" applyBorder="1" applyAlignment="1">
      <alignment horizontal="right" wrapText="1"/>
    </xf>
    <xf numFmtId="0" fontId="2" fillId="0" borderId="25" xfId="0" applyFont="1" applyBorder="1" applyAlignment="1">
      <alignment horizontal="center" vertical="center" textRotation="90" wrapText="1"/>
    </xf>
    <xf numFmtId="0" fontId="2" fillId="0" borderId="23" xfId="0" applyFont="1" applyBorder="1" applyAlignment="1">
      <alignment horizontal="center" vertical="center" textRotation="90" wrapText="1"/>
    </xf>
    <xf numFmtId="0" fontId="2" fillId="0" borderId="24" xfId="0" applyFont="1" applyBorder="1" applyAlignment="1">
      <alignment horizontal="center" vertical="center" textRotation="90" wrapText="1"/>
    </xf>
  </cellXfs>
  <cellStyles count="2">
    <cellStyle name="Денежный 2" xfId="1" xr:uid="{00000000-0005-0000-0000-000001000000}"/>
    <cellStyle name="Обычный" xfId="0" builtinId="0"/>
  </cellStyles>
  <dxfs count="10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</dxfs>
  <tableStyles count="1" defaultTableStyle="TableStyleMedium2" defaultPivotStyle="PivotStylePreset2_Accent1">
    <tableStyle name="PivotStylePreset2_Accent1" table="0" count="10" xr9:uid="{00000000-0011-0000-FFFF-FFFF00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7"/>
  <sheetViews>
    <sheetView tabSelected="1" zoomScale="85" zoomScaleNormal="85" workbookViewId="0">
      <selection activeCell="G6" sqref="G6:G7"/>
    </sheetView>
  </sheetViews>
  <sheetFormatPr defaultColWidth="8.6640625" defaultRowHeight="14.4"/>
  <cols>
    <col min="1" max="1" width="6" style="2" customWidth="1"/>
    <col min="2" max="2" width="21.6640625" style="2" customWidth="1"/>
    <col min="3" max="3" width="14.21875" style="19" customWidth="1"/>
    <col min="4" max="4" width="36.88671875" style="2" customWidth="1"/>
    <col min="5" max="6" width="12.33203125" style="19" customWidth="1"/>
    <col min="7" max="7" width="38.44140625" style="2" bestFit="1" customWidth="1"/>
    <col min="8" max="8" width="26.44140625" style="2" customWidth="1"/>
    <col min="9" max="10" width="8.6640625" style="2"/>
    <col min="11" max="11" width="43.6640625" style="2" customWidth="1"/>
    <col min="12" max="12" width="29.33203125" style="2" customWidth="1"/>
    <col min="13" max="16384" width="8.6640625" style="2"/>
  </cols>
  <sheetData>
    <row r="1" spans="1:7" ht="18.600000000000001" thickBot="1">
      <c r="A1" s="59" t="s">
        <v>20</v>
      </c>
      <c r="B1" s="60"/>
      <c r="C1" s="60"/>
      <c r="D1" s="60"/>
      <c r="E1" s="60"/>
      <c r="F1" s="60"/>
      <c r="G1" s="18" t="s">
        <v>24</v>
      </c>
    </row>
    <row r="2" spans="1:7" ht="29.4" thickBot="1">
      <c r="A2" s="64" t="s">
        <v>0</v>
      </c>
      <c r="B2" s="8" t="s">
        <v>1</v>
      </c>
      <c r="C2" s="6" t="s">
        <v>2</v>
      </c>
      <c r="D2" s="4" t="s">
        <v>3</v>
      </c>
      <c r="E2" s="4" t="s">
        <v>4</v>
      </c>
      <c r="F2" s="4" t="s">
        <v>5</v>
      </c>
      <c r="G2" s="5" t="s">
        <v>6</v>
      </c>
    </row>
    <row r="3" spans="1:7" ht="28.8" customHeight="1">
      <c r="A3" s="65"/>
      <c r="B3" s="52" t="s">
        <v>7</v>
      </c>
      <c r="C3" s="14">
        <v>1</v>
      </c>
      <c r="D3" s="3" t="s">
        <v>19</v>
      </c>
      <c r="E3" s="9">
        <v>1</v>
      </c>
      <c r="F3" s="12">
        <v>1</v>
      </c>
      <c r="G3" s="21" t="s">
        <v>9</v>
      </c>
    </row>
    <row r="4" spans="1:7">
      <c r="A4" s="65"/>
      <c r="B4" s="52"/>
      <c r="C4" s="16">
        <v>2</v>
      </c>
      <c r="D4" s="1" t="s">
        <v>8</v>
      </c>
      <c r="E4" s="10">
        <v>1</v>
      </c>
      <c r="F4" s="20">
        <v>0</v>
      </c>
      <c r="G4" s="22" t="s">
        <v>17</v>
      </c>
    </row>
    <row r="5" spans="1:7" ht="15" thickBot="1">
      <c r="A5" s="65"/>
      <c r="B5" s="52"/>
      <c r="C5" s="23">
        <v>3</v>
      </c>
      <c r="D5" s="7" t="s">
        <v>10</v>
      </c>
      <c r="E5" s="11">
        <v>1</v>
      </c>
      <c r="F5" s="24">
        <v>1</v>
      </c>
      <c r="G5" s="37" t="s">
        <v>18</v>
      </c>
    </row>
    <row r="6" spans="1:7">
      <c r="A6" s="65"/>
      <c r="B6" s="53"/>
      <c r="C6" s="62" t="s">
        <v>11</v>
      </c>
      <c r="D6" s="63"/>
      <c r="E6" s="9">
        <f>SUM(E3:E5)</f>
        <v>3</v>
      </c>
      <c r="F6" s="15">
        <f>SUM(F3:F5)</f>
        <v>2</v>
      </c>
      <c r="G6" s="38"/>
    </row>
    <row r="7" spans="1:7" ht="15" thickBot="1">
      <c r="A7" s="66"/>
      <c r="B7" s="54"/>
      <c r="C7" s="46" t="s">
        <v>16</v>
      </c>
      <c r="D7" s="47"/>
      <c r="E7" s="50">
        <f>F6/E6</f>
        <v>0.66666666666666663</v>
      </c>
      <c r="F7" s="61"/>
      <c r="G7" s="39"/>
    </row>
    <row r="8" spans="1:7" ht="29.4" thickBot="1">
      <c r="A8" s="55" t="s">
        <v>13</v>
      </c>
      <c r="B8" s="8" t="s">
        <v>1</v>
      </c>
      <c r="C8" s="34" t="s">
        <v>2</v>
      </c>
      <c r="D8" s="35" t="s">
        <v>3</v>
      </c>
      <c r="E8" s="35" t="s">
        <v>4</v>
      </c>
      <c r="F8" s="35" t="s">
        <v>5</v>
      </c>
      <c r="G8" s="36" t="s">
        <v>6</v>
      </c>
    </row>
    <row r="9" spans="1:7" ht="14.4" customHeight="1">
      <c r="A9" s="56"/>
      <c r="B9" s="52" t="s">
        <v>7</v>
      </c>
      <c r="C9" s="25">
        <v>1</v>
      </c>
      <c r="D9" s="30" t="s">
        <v>12</v>
      </c>
      <c r="E9" s="31">
        <v>1</v>
      </c>
      <c r="F9" s="32">
        <v>1</v>
      </c>
      <c r="G9" s="33" t="s">
        <v>21</v>
      </c>
    </row>
    <row r="10" spans="1:7">
      <c r="A10" s="56"/>
      <c r="B10" s="52"/>
      <c r="C10" s="16">
        <v>2</v>
      </c>
      <c r="D10" s="27" t="s">
        <v>12</v>
      </c>
      <c r="E10" s="26">
        <v>1</v>
      </c>
      <c r="F10" s="17">
        <v>1</v>
      </c>
      <c r="G10" s="13" t="s">
        <v>22</v>
      </c>
    </row>
    <row r="11" spans="1:7">
      <c r="A11" s="56"/>
      <c r="B11" s="52"/>
      <c r="C11" s="16">
        <v>3</v>
      </c>
      <c r="D11" s="27" t="s">
        <v>12</v>
      </c>
      <c r="E11" s="26">
        <v>1</v>
      </c>
      <c r="F11" s="17">
        <v>1</v>
      </c>
      <c r="G11" s="13" t="s">
        <v>25</v>
      </c>
    </row>
    <row r="12" spans="1:7" ht="15" thickBot="1">
      <c r="A12" s="56"/>
      <c r="B12" s="52"/>
      <c r="C12" s="28">
        <v>4</v>
      </c>
      <c r="D12" s="29" t="s">
        <v>12</v>
      </c>
      <c r="E12" s="26">
        <v>1</v>
      </c>
      <c r="F12" s="17">
        <v>1</v>
      </c>
      <c r="G12" s="13" t="s">
        <v>26</v>
      </c>
    </row>
    <row r="13" spans="1:7">
      <c r="A13" s="56"/>
      <c r="B13" s="53"/>
      <c r="C13" s="42" t="s">
        <v>11</v>
      </c>
      <c r="D13" s="43"/>
      <c r="E13" s="9">
        <f>SUM(E9:E12)</f>
        <v>4</v>
      </c>
      <c r="F13" s="12">
        <f>SUM(F9:F12)</f>
        <v>4</v>
      </c>
      <c r="G13" s="38"/>
    </row>
    <row r="14" spans="1:7" ht="15" thickBot="1">
      <c r="A14" s="57"/>
      <c r="B14" s="54"/>
      <c r="C14" s="46" t="s">
        <v>16</v>
      </c>
      <c r="D14" s="47"/>
      <c r="E14" s="50">
        <f>F13/E13</f>
        <v>1</v>
      </c>
      <c r="F14" s="51"/>
      <c r="G14" s="58"/>
    </row>
    <row r="15" spans="1:7">
      <c r="A15" s="42" t="s">
        <v>14</v>
      </c>
      <c r="B15" s="43"/>
      <c r="C15" s="43"/>
      <c r="D15" s="43"/>
      <c r="E15" s="40">
        <f>E6+E13</f>
        <v>7</v>
      </c>
      <c r="F15" s="41"/>
      <c r="G15" s="58"/>
    </row>
    <row r="16" spans="1:7">
      <c r="A16" s="44" t="s">
        <v>23</v>
      </c>
      <c r="B16" s="45"/>
      <c r="C16" s="45"/>
      <c r="D16" s="45"/>
      <c r="E16" s="48">
        <f>F13+F6</f>
        <v>6</v>
      </c>
      <c r="F16" s="49"/>
      <c r="G16" s="58"/>
    </row>
    <row r="17" spans="1:7" ht="15" thickBot="1">
      <c r="A17" s="46" t="s">
        <v>15</v>
      </c>
      <c r="B17" s="47"/>
      <c r="C17" s="47"/>
      <c r="D17" s="47"/>
      <c r="E17" s="50">
        <f>E16/E15</f>
        <v>0.8571428571428571</v>
      </c>
      <c r="F17" s="51"/>
      <c r="G17" s="39"/>
    </row>
  </sheetData>
  <mergeCells count="19">
    <mergeCell ref="A1:F1"/>
    <mergeCell ref="E7:F7"/>
    <mergeCell ref="C6:D6"/>
    <mergeCell ref="C7:D7"/>
    <mergeCell ref="A2:A7"/>
    <mergeCell ref="B3:B7"/>
    <mergeCell ref="G6:G7"/>
    <mergeCell ref="E15:F15"/>
    <mergeCell ref="A15:D15"/>
    <mergeCell ref="A16:D16"/>
    <mergeCell ref="A17:D17"/>
    <mergeCell ref="E16:F16"/>
    <mergeCell ref="E17:F17"/>
    <mergeCell ref="C13:D13"/>
    <mergeCell ref="C14:D14"/>
    <mergeCell ref="E14:F14"/>
    <mergeCell ref="B9:B14"/>
    <mergeCell ref="A8:A14"/>
    <mergeCell ref="G13:G17"/>
  </mergeCells>
  <pageMargins left="0.25" right="0.25" top="0.75" bottom="0.75" header="0.3" footer="0.3"/>
  <pageSetup paperSize="9" scale="91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Петуров Иван Александрович</dc:creator>
  <cp:lastModifiedBy>PSK_N_030</cp:lastModifiedBy>
  <cp:lastPrinted>2026-04-03T15:34:24Z</cp:lastPrinted>
  <dcterms:created xsi:type="dcterms:W3CDTF">2015-06-05T18:19:34Z</dcterms:created>
  <dcterms:modified xsi:type="dcterms:W3CDTF">2026-06-24T06:36:07Z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ED8389E64366A9EAC42C0F6AA59A8DED_33</vt:lpwstr>
  </property>
  <property fmtid="{D5CDD505-2E9C-101B-9397-08002B2CF9AE}" pid="3" name="KSOProductBuildVer">
    <vt:lpwstr>2052-26.4.0</vt:lpwstr>
  </property>
</Properties>
</file>